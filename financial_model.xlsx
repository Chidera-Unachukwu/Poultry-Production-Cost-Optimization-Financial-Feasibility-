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istorical Baseline" sheetId="2" state="visible" r:id="rId2"/>
    <sheet xmlns:r="http://schemas.openxmlformats.org/officeDocument/2006/relationships" name="Model Inputs" sheetId="3" state="visible" r:id="rId3"/>
    <sheet xmlns:r="http://schemas.openxmlformats.org/officeDocument/2006/relationships" name="Scale Model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ash Allocation" sheetId="6" state="visible" r:id="rId6"/>
    <sheet xmlns:r="http://schemas.openxmlformats.org/officeDocument/2006/relationships" name="Hatchery Inputs" sheetId="7" state="visible" r:id="rId7"/>
    <sheet xmlns:r="http://schemas.openxmlformats.org/officeDocument/2006/relationships" name="Power BI Data" sheetId="8" state="visible" r:id="rId8"/>
  </sheets>
  <definedNames>
    <definedName name="_xlnm._FilterDatabase" localSheetId="0" hidden="1">'Start Here'!$A$1:$B$8</definedName>
    <definedName name="_xlnm._FilterDatabase" localSheetId="1" hidden="1">'Historical Baseline'!$A$1:$F$14</definedName>
    <definedName name="_xlnm._FilterDatabase" localSheetId="2" hidden="1">'Model Inputs'!$A$1:$E$19</definedName>
    <definedName name="_xlnm._FilterDatabase" localSheetId="3" hidden="1">'Scale Model'!$A$1:$N$4</definedName>
    <definedName name="_xlnm._FilterDatabase" localSheetId="4" hidden="1">'Sensitivity'!$A$1:$I$7</definedName>
    <definedName name="_xlnm._FilterDatabase" localSheetId="5" hidden="1">'Cash Allocation'!$A$1:$C$8</definedName>
    <definedName name="_xlnm._FilterDatabase" localSheetId="6" hidden="1">'Hatchery Inputs'!$A$1:$D$16</definedName>
    <definedName name="_xlnm._FilterDatabase" localSheetId="7" hidden="1">'Power BI Data'!$A$1:$D$19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6100"/>
    </font>
    <font>
      <b val="1"/>
      <color rgb="00FFFFFF"/>
      <sz val="14"/>
    </font>
    <font>
      <b val="1"/>
      <color rgb="0017324D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EAF2F5"/>
      </patternFill>
    </fill>
  </fills>
  <borders count="2">
    <border>
      <left/>
      <right/>
      <top/>
      <bottom/>
      <diagonal/>
    </border>
    <border>
      <bottom style="thin">
        <color rgb="00CF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HistoricalBaseline" displayName="TblHistoricalBaseline" ref="A1:F14" headerRowCount="1">
  <autoFilter ref="A1:F14"/>
  <tableColumns count="6">
    <tableColumn id="1" name="category"/>
    <tableColumn id="2" name="metric"/>
    <tableColumn id="3" name="value"/>
    <tableColumn id="4" name="unit"/>
    <tableColumn id="5" name="status"/>
    <tableColumn id="6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ModelInputs" displayName="TblModelInputs" ref="A1:E19" headerRowCount="1">
  <autoFilter ref="A1:E19"/>
  <tableColumns count="5">
    <tableColumn id="1" name="input"/>
    <tableColumn id="2" name="value"/>
    <tableColumn id="3" name="unit"/>
    <tableColumn id="4" name="status"/>
    <tableColumn id="5" name="defini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ScaleModel" displayName="TblScaleModel" ref="A1:N4" headerRowCount="1">
  <autoFilter ref="A1:N4"/>
  <tableColumns count="14">
    <tableColumn id="1" name="Target birds placed"/>
    <tableColumn id="2" name="Assumed survival rate"/>
    <tableColumn id="3" name="Expected birds sold"/>
    <tableColumn id="4" name="Avg sale price / bird sold"/>
    <tableColumn id="5" name="Illustrative revenue"/>
    <tableColumn id="6" name="Chick cost"/>
    <tableColumn id="7" name="Commercial feed cost"/>
    <tableColumn id="8" name="Medication/supplements"/>
    <tableColumn id="9" name="Known costs: commercial feed"/>
    <tableColumn id="10" name="Preliminary surplus before missing costs"/>
    <tableColumn id="11" name="Estimated in-house feed cost"/>
    <tableColumn id="12" name="Known costs: in-house feed"/>
    <tableColumn id="13" name="Preliminary surplus: in-house estimate"/>
    <tableColumn id="14" name="Classifica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Sensitivity" displayName="TblSensitivity" ref="A1:I7" headerRowCount="1">
  <autoFilter ref="A1:I7"/>
  <tableColumns count="9">
    <tableColumn id="1" name="Scenario"/>
    <tableColumn id="2" name="Birds placed"/>
    <tableColumn id="3" name="Survival rate"/>
    <tableColumn id="4" name="Price multiplier"/>
    <tableColumn id="5" name="Known cost multiplier"/>
    <tableColumn id="6" name="Illustrative revenue"/>
    <tableColumn id="7" name="Known costs only"/>
    <tableColumn id="8" name="Preliminary surplus before missing costs/capex"/>
    <tableColumn id="9" name="Warnin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PowerBIData" displayName="TblPowerBIData" ref="A1:D19" headerRowCount="1">
  <autoFilter ref="A1:D19"/>
  <tableColumns count="4">
    <tableColumn id="1" name="stage"/>
    <tableColumn id="2" name="metric"/>
    <tableColumn id="3" name="value_NGN"/>
    <tableColumn id="4" name="data_classific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0" customWidth="1" min="2" max="2"/>
  </cols>
  <sheetData>
    <row r="1" ht="32" customHeight="1">
      <c r="A1" s="1" t="inlineStr">
        <is>
          <t>POULTRY PRODUCTION COST OPTIMIZATION &amp; FINANCIAL FEASIBILITY</t>
        </is>
      </c>
    </row>
    <row r="2">
      <c r="A2" s="2" t="inlineStr">
        <is>
          <t>Purpose</t>
        </is>
      </c>
      <c r="B2" s="3" t="inlineStr">
        <is>
          <t>Portfolio financial model built from the actual 50-bird cycle plus explicitly labelled scenario illustrations.</t>
        </is>
      </c>
    </row>
    <row r="3">
      <c r="A3" s="2" t="inlineStr">
        <is>
          <t>Critical warning</t>
        </is>
      </c>
      <c r="B3" s="3" t="inlineStr">
        <is>
          <t>Preliminary surplus is NOT confirmed net profit; unknown expenses and capital expenditure are not included.</t>
        </is>
      </c>
    </row>
    <row r="4">
      <c r="A4" s="2" t="inlineStr">
        <is>
          <t>Scenario warning</t>
        </is>
      </c>
      <c r="B4" s="3" t="inlineStr">
        <is>
          <t>The 1,000/3,000/5,000 calculations are linear baseline-equivalent illustrations, not forecasts.</t>
        </is>
      </c>
    </row>
    <row r="5">
      <c r="A5" s="2" t="inlineStr">
        <is>
          <t>How to use</t>
        </is>
      </c>
      <c r="B5" s="3" t="inlineStr">
        <is>
          <t>Edit yellow cells in Model Inputs. Fill unknown cost assumptions before using results for decisions.</t>
        </is>
      </c>
    </row>
    <row r="6">
      <c r="A6" s="2" t="inlineStr">
        <is>
          <t>Historical source</t>
        </is>
      </c>
      <c r="B6" s="3" t="inlineStr">
        <is>
          <t>Actual farm operation around Nov-Dec 2025, Anambra State, Nigeria; values supplied by user and source research document.</t>
        </is>
      </c>
    </row>
    <row r="7">
      <c r="A7" s="2" t="inlineStr">
        <is>
          <t>Strategy</t>
        </is>
      </c>
      <c r="B7" s="3" t="inlineStr">
        <is>
          <t>Sequential batches: sell 1,000 before starting 3,000; sell 3,000 before starting 5,000.</t>
        </is>
      </c>
    </row>
    <row r="8">
      <c r="A8" s="2" t="inlineStr">
        <is>
          <t>Cash policy</t>
        </is>
      </c>
      <c r="B8" s="3" t="inlineStr">
        <is>
          <t>Reserve next-cycle working capital and obligations first; compare maximum withdrawal with 1-, 2-, and 3-month reserve policies once operating expenses are known.</t>
        </is>
      </c>
    </row>
  </sheetData>
  <autoFilter ref="A1:B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23" customWidth="1" min="4" max="4"/>
    <col width="20" customWidth="1" min="5" max="5"/>
    <col width="44" customWidth="1" min="6" max="6"/>
  </cols>
  <sheetData>
    <row r="1" ht="32" customHeight="1">
      <c r="A1" s="4" t="inlineStr">
        <is>
          <t>category</t>
        </is>
      </c>
      <c r="B1" s="4" t="inlineStr">
        <is>
          <t>metric</t>
        </is>
      </c>
      <c r="C1" s="4" t="inlineStr">
        <is>
          <t>value</t>
        </is>
      </c>
      <c r="D1" s="4" t="inlineStr">
        <is>
          <t>unit</t>
        </is>
      </c>
      <c r="E1" s="4" t="inlineStr">
        <is>
          <t>status</t>
        </is>
      </c>
      <c r="F1" s="4" t="inlineStr">
        <is>
          <t>notes</t>
        </is>
      </c>
    </row>
    <row r="2">
      <c r="A2" s="3" t="inlineStr">
        <is>
          <t>Production</t>
        </is>
      </c>
      <c r="B2" s="3" t="inlineStr">
        <is>
          <t>Birds placed</t>
        </is>
      </c>
      <c r="C2" s="5" t="n">
        <v>50</v>
      </c>
      <c r="D2" s="3" t="inlineStr">
        <is>
          <t>birds</t>
        </is>
      </c>
      <c r="E2" s="3" t="inlineStr">
        <is>
          <t>Actual</t>
        </is>
      </c>
      <c r="F2" s="3" t="inlineStr">
        <is>
          <t>50 day-old chicks purchased</t>
        </is>
      </c>
    </row>
    <row r="3">
      <c r="A3" s="3" t="inlineStr">
        <is>
          <t>Production</t>
        </is>
      </c>
      <c r="B3" s="3" t="inlineStr">
        <is>
          <t>Birds died</t>
        </is>
      </c>
      <c r="C3" s="5" t="n">
        <v>2</v>
      </c>
      <c r="D3" s="3" t="inlineStr">
        <is>
          <t>birds</t>
        </is>
      </c>
      <c r="E3" s="3" t="inlineStr">
        <is>
          <t>Actual</t>
        </is>
      </c>
      <c r="F3" s="3" t="inlineStr">
        <is>
          <t>Reported by user</t>
        </is>
      </c>
    </row>
    <row r="4">
      <c r="A4" s="3" t="inlineStr">
        <is>
          <t>Production</t>
        </is>
      </c>
      <c r="B4" s="3" t="inlineStr">
        <is>
          <t>Birds sold</t>
        </is>
      </c>
      <c r="C4" s="5" t="n">
        <v>48</v>
      </c>
      <c r="D4" s="3" t="inlineStr">
        <is>
          <t>birds</t>
        </is>
      </c>
      <c r="E4" s="3" t="inlineStr">
        <is>
          <t>Actual</t>
        </is>
      </c>
      <c r="F4" s="3" t="inlineStr">
        <is>
          <t>Reported by user</t>
        </is>
      </c>
    </row>
    <row r="5">
      <c r="A5" s="3" t="inlineStr">
        <is>
          <t>Revenue</t>
        </is>
      </c>
      <c r="B5" s="3" t="inlineStr">
        <is>
          <t>Total sales revenue</t>
        </is>
      </c>
      <c r="C5" s="5" t="n">
        <v>830000</v>
      </c>
      <c r="D5" s="3" t="inlineStr">
        <is>
          <t>NGN</t>
        </is>
      </c>
      <c r="E5" s="3" t="inlineStr">
        <is>
          <t>Approximate actual</t>
        </is>
      </c>
      <c r="F5" s="3" t="inlineStr">
        <is>
          <t>User clarified this is total sales revenue, not profit</t>
        </is>
      </c>
    </row>
    <row r="6">
      <c r="A6" s="3" t="inlineStr">
        <is>
          <t>Cost</t>
        </is>
      </c>
      <c r="B6" s="3" t="inlineStr">
        <is>
          <t>Day-old chicks</t>
        </is>
      </c>
      <c r="C6" s="5" t="n">
        <v>102500</v>
      </c>
      <c r="D6" s="3" t="inlineStr">
        <is>
          <t>NGN</t>
        </is>
      </c>
      <c r="E6" s="3" t="inlineStr">
        <is>
          <t>Actual/documented</t>
        </is>
      </c>
      <c r="F6" s="3" t="inlineStr">
        <is>
          <t>50 chicks at ₦2,050 each</t>
        </is>
      </c>
    </row>
    <row r="7">
      <c r="A7" s="3" t="inlineStr">
        <is>
          <t>Cost</t>
        </is>
      </c>
      <c r="B7" s="3" t="inlineStr">
        <is>
          <t>Commercial starter feed</t>
        </is>
      </c>
      <c r="C7" s="5" t="n">
        <v>100400</v>
      </c>
      <c r="D7" s="3" t="inlineStr">
        <is>
          <t>NGN</t>
        </is>
      </c>
      <c r="E7" s="3" t="inlineStr">
        <is>
          <t>Actual/documented</t>
        </is>
      </c>
      <c r="F7" s="3" t="inlineStr">
        <is>
          <t>4 bags × 25kg; amount from original research</t>
        </is>
      </c>
    </row>
    <row r="8">
      <c r="A8" s="3" t="inlineStr">
        <is>
          <t>Cost</t>
        </is>
      </c>
      <c r="B8" s="3" t="inlineStr">
        <is>
          <t>Commercial finisher feed</t>
        </is>
      </c>
      <c r="C8" s="5" t="n">
        <v>86000</v>
      </c>
      <c r="D8" s="3" t="inlineStr">
        <is>
          <t>NGN</t>
        </is>
      </c>
      <c r="E8" s="3" t="inlineStr">
        <is>
          <t>Actual/documented</t>
        </is>
      </c>
      <c r="F8" s="3" t="inlineStr">
        <is>
          <t>4 bags × 25kg; amount from original research</t>
        </is>
      </c>
    </row>
    <row r="9">
      <c r="A9" s="3" t="inlineStr">
        <is>
          <t>Cost</t>
        </is>
      </c>
      <c r="B9" s="3" t="inlineStr">
        <is>
          <t>Medication and supplements</t>
        </is>
      </c>
      <c r="C9" s="5" t="n">
        <v>17000</v>
      </c>
      <c r="D9" s="3" t="inlineStr">
        <is>
          <t>NGN</t>
        </is>
      </c>
      <c r="E9" s="3" t="inlineStr">
        <is>
          <t>Approximate actual</t>
        </is>
      </c>
      <c r="F9" s="3" t="inlineStr">
        <is>
          <t>Approximate amount reported by user</t>
        </is>
      </c>
    </row>
    <row r="10">
      <c r="A10" s="3" t="inlineStr">
        <is>
          <t>Cost</t>
        </is>
      </c>
      <c r="B10" s="3" t="inlineStr">
        <is>
          <t>Other operating expenses</t>
        </is>
      </c>
      <c r="C10" s="3" t="inlineStr"/>
      <c r="D10" s="3" t="inlineStr">
        <is>
          <t>NGN</t>
        </is>
      </c>
      <c r="E10" s="3" t="inlineStr">
        <is>
          <t>Unknown</t>
        </is>
      </c>
      <c r="F10" s="3" t="inlineStr">
        <is>
          <t>Must be collected; excluded from preliminary surplus</t>
        </is>
      </c>
    </row>
    <row r="11">
      <c r="A11" s="3" t="inlineStr">
        <is>
          <t>Feed alternative</t>
        </is>
      </c>
      <c r="B11" s="3" t="inlineStr">
        <is>
          <t>In-house starter feed estimate</t>
        </is>
      </c>
      <c r="C11" s="5" t="n">
        <v>45000</v>
      </c>
      <c r="D11" s="3" t="inlineStr">
        <is>
          <t>NGN per 50-bird batch</t>
        </is>
      </c>
      <c r="E11" s="3" t="inlineStr">
        <is>
          <t>Estimate only</t>
        </is>
      </c>
      <c r="F11" s="3" t="inlineStr">
        <is>
          <t>Not implemented in actual cycle; ingredient-price estimate</t>
        </is>
      </c>
    </row>
    <row r="12">
      <c r="A12" s="3" t="inlineStr">
        <is>
          <t>Feed alternative</t>
        </is>
      </c>
      <c r="B12" s="3" t="inlineStr">
        <is>
          <t>In-house finisher feed estimate</t>
        </is>
      </c>
      <c r="C12" s="5" t="n">
        <v>45000</v>
      </c>
      <c r="D12" s="3" t="inlineStr">
        <is>
          <t>NGN per 50-bird batch</t>
        </is>
      </c>
      <c r="E12" s="3" t="inlineStr">
        <is>
          <t>Estimate only</t>
        </is>
      </c>
      <c r="F12" s="3" t="inlineStr">
        <is>
          <t>Not implemented in actual cycle; ingredient-price estimate</t>
        </is>
      </c>
    </row>
    <row r="13">
      <c r="A13" s="3" t="inlineStr">
        <is>
          <t>Feed alternative</t>
        </is>
      </c>
      <c r="B13" s="3" t="inlineStr">
        <is>
          <t>In-house feed total estimate</t>
        </is>
      </c>
      <c r="C13" s="5" t="n">
        <v>90000</v>
      </c>
      <c r="D13" s="3" t="inlineStr">
        <is>
          <t>NGN per 50-bird batch</t>
        </is>
      </c>
      <c r="E13" s="3" t="inlineStr">
        <is>
          <t>Estimate only</t>
        </is>
      </c>
      <c r="F13" s="3" t="inlineStr">
        <is>
          <t>Excludes transport, milling, fuel/power, labour, wastage, quality control and equipment costs</t>
        </is>
      </c>
    </row>
    <row r="14">
      <c r="A14" s="3" t="inlineStr">
        <is>
          <t>Capital plan</t>
        </is>
      </c>
      <c r="B14" s="3" t="inlineStr">
        <is>
          <t>Truck, feed mill, solar, incubator</t>
        </is>
      </c>
      <c r="C14" s="3" t="inlineStr"/>
      <c r="D14" s="3" t="inlineStr">
        <is>
          <t>NGN</t>
        </is>
      </c>
      <c r="E14" s="3" t="inlineStr">
        <is>
          <t>Not priced</t>
        </is>
      </c>
      <c r="F14" s="3" t="inlineStr">
        <is>
          <t>Planned investments; not treated as already owned or free</t>
        </is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30" customWidth="1" min="4" max="4"/>
    <col width="44" customWidth="1" min="5" max="5"/>
  </cols>
  <sheetData>
    <row r="1" ht="32" customHeight="1">
      <c r="A1" s="4" t="inlineStr">
        <is>
          <t>input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status</t>
        </is>
      </c>
      <c r="E1" s="4" t="inlineStr">
        <is>
          <t>definition</t>
        </is>
      </c>
    </row>
    <row r="2">
      <c r="A2" s="3" t="inlineStr">
        <is>
          <t>Survival rate</t>
        </is>
      </c>
      <c r="B2" s="6" t="n">
        <v>0.96</v>
      </c>
      <c r="C2" s="3" t="inlineStr">
        <is>
          <t>ratio</t>
        </is>
      </c>
      <c r="D2" s="3" t="inlineStr">
        <is>
          <t>Baseline-derived assumption</t>
        </is>
      </c>
      <c r="E2" s="3" t="inlineStr">
        <is>
          <t>Can be changed for scenarios; historical batch survival was 96%</t>
        </is>
      </c>
    </row>
    <row r="3">
      <c r="A3" s="3" t="inlineStr">
        <is>
          <t>Average selling price per bird sold</t>
        </is>
      </c>
      <c r="B3" s="7" t="n">
        <v>17291.66666666667</v>
      </c>
      <c r="C3" s="3" t="inlineStr">
        <is>
          <t>NGN/bird</t>
        </is>
      </c>
      <c r="D3" s="3" t="inlineStr">
        <is>
          <t>Baseline-derived approximate</t>
        </is>
      </c>
      <c r="E3" s="3" t="inlineStr">
        <is>
          <t>₦830,000 divided by 48 birds sold</t>
        </is>
      </c>
    </row>
    <row r="4">
      <c r="A4" s="3" t="inlineStr">
        <is>
          <t>Day-old chick cost per bird placed</t>
        </is>
      </c>
      <c r="B4" s="7" t="n">
        <v>2050</v>
      </c>
      <c r="C4" s="3" t="inlineStr">
        <is>
          <t>NGN/bird</t>
        </is>
      </c>
      <c r="D4" s="3" t="inlineStr">
        <is>
          <t>Baseline-derived actual</t>
        </is>
      </c>
      <c r="E4" s="3" t="inlineStr">
        <is>
          <t>Historical purchase cost per chick</t>
        </is>
      </c>
    </row>
    <row r="5">
      <c r="A5" s="3" t="inlineStr">
        <is>
          <t>Commercial starter + finisher feed per bird placed</t>
        </is>
      </c>
      <c r="B5" s="7" t="n">
        <v>3728</v>
      </c>
      <c r="C5" s="3" t="inlineStr">
        <is>
          <t>NGN/bird</t>
        </is>
      </c>
      <c r="D5" s="3" t="inlineStr">
        <is>
          <t>Baseline-derived actual</t>
        </is>
      </c>
      <c r="E5" s="3" t="inlineStr">
        <is>
          <t>Historical feed cost per bird placed; validate feeding quantities before scale-up</t>
        </is>
      </c>
    </row>
    <row r="6">
      <c r="A6" s="3" t="inlineStr">
        <is>
          <t>Medication/supplements per bird placed</t>
        </is>
      </c>
      <c r="B6" s="7" t="n">
        <v>340</v>
      </c>
      <c r="C6" s="3" t="inlineStr">
        <is>
          <t>NGN/bird</t>
        </is>
      </c>
      <c r="D6" s="3" t="inlineStr">
        <is>
          <t>Baseline-derived approximate</t>
        </is>
      </c>
      <c r="E6" s="3" t="inlineStr">
        <is>
          <t>Does not include any additional unrecorded veterinary costs</t>
        </is>
      </c>
    </row>
    <row r="7">
      <c r="A7" s="3" t="inlineStr">
        <is>
          <t>In-house feed estimate per bird placed</t>
        </is>
      </c>
      <c r="B7" s="7" t="n">
        <v>1800</v>
      </c>
      <c r="C7" s="3" t="inlineStr">
        <is>
          <t>NGN/bird</t>
        </is>
      </c>
      <c r="D7" s="3" t="inlineStr">
        <is>
          <t>Estimate only</t>
        </is>
      </c>
      <c r="E7" s="3" t="inlineStr">
        <is>
          <t>Excludes several operating and capital costs; not a proven saving</t>
        </is>
      </c>
    </row>
    <row r="8">
      <c r="A8" s="3" t="inlineStr">
        <is>
          <t>Other operating costs per bird placed</t>
        </is>
      </c>
      <c r="B8" s="8" t="inlineStr"/>
      <c r="C8" s="3" t="inlineStr">
        <is>
          <t>NGN/bird</t>
        </is>
      </c>
      <c r="D8" s="3" t="inlineStr">
        <is>
          <t>Required input missing</t>
        </is>
      </c>
      <c r="E8" s="3" t="inlineStr">
        <is>
          <t>Labour, litter, water, fuel, transport, cleaning, extra vaccines, etc.</t>
        </is>
      </c>
    </row>
    <row r="9">
      <c r="A9" s="3" t="inlineStr">
        <is>
          <t>Capital expenditure before next cycle</t>
        </is>
      </c>
      <c r="B9" s="8" t="inlineStr"/>
      <c r="C9" s="3" t="inlineStr">
        <is>
          <t>NGN</t>
        </is>
      </c>
      <c r="D9" s="3" t="inlineStr">
        <is>
          <t>Required input missing</t>
        </is>
      </c>
      <c r="E9" s="3" t="inlineStr">
        <is>
          <t>Incubator, truck, mill, solar and infrastructure quotes</t>
        </is>
      </c>
    </row>
    <row r="10">
      <c r="A10" s="3" t="inlineStr">
        <is>
          <t>Egg cost per fertilized egg</t>
        </is>
      </c>
      <c r="B10" s="6" t="inlineStr"/>
      <c r="C10" s="3" t="inlineStr">
        <is>
          <t>NGN/egg</t>
        </is>
      </c>
      <c r="D10" s="3" t="inlineStr">
        <is>
          <t>Required input missing</t>
        </is>
      </c>
      <c r="E10" s="3" t="inlineStr">
        <is>
          <t>Needed for hatchery model</t>
        </is>
      </c>
    </row>
    <row r="11">
      <c r="A11" s="3" t="inlineStr">
        <is>
          <t>Fertility rate</t>
        </is>
      </c>
      <c r="B11" s="6" t="inlineStr"/>
      <c r="C11" s="3" t="inlineStr">
        <is>
          <t>ratio</t>
        </is>
      </c>
      <c r="D11" s="3" t="inlineStr">
        <is>
          <t>Required input missing</t>
        </is>
      </c>
      <c r="E11" s="3" t="inlineStr">
        <is>
          <t>Measure or use clearly labelled scenario assumptions</t>
        </is>
      </c>
    </row>
    <row r="12">
      <c r="A12" s="3" t="inlineStr">
        <is>
          <t>Hatchability of fertile eggs</t>
        </is>
      </c>
      <c r="B12" s="6" t="inlineStr"/>
      <c r="C12" s="3" t="inlineStr">
        <is>
          <t>ratio</t>
        </is>
      </c>
      <c r="D12" s="3" t="inlineStr">
        <is>
          <t>Required input missing</t>
        </is>
      </c>
      <c r="E12" s="3" t="inlineStr">
        <is>
          <t>Measure or use clearly labelled scenario assumptions</t>
        </is>
      </c>
    </row>
    <row r="13">
      <c r="A13" s="3" t="inlineStr">
        <is>
          <t>Usable chick rate after hatch</t>
        </is>
      </c>
      <c r="B13" s="6" t="inlineStr"/>
      <c r="C13" s="3" t="inlineStr">
        <is>
          <t>ratio</t>
        </is>
      </c>
      <c r="D13" s="3" t="inlineStr">
        <is>
          <t>Required input missing</t>
        </is>
      </c>
      <c r="E13" s="3" t="inlineStr">
        <is>
          <t>Measure or use clearly labelled scenario assumptions</t>
        </is>
      </c>
    </row>
    <row r="14">
      <c r="A14" s="3" t="inlineStr">
        <is>
          <t>Fuel and transport per cycle</t>
        </is>
      </c>
      <c r="B14" s="8" t="inlineStr"/>
      <c r="C14" s="3" t="inlineStr">
        <is>
          <t>NGN/cycle</t>
        </is>
      </c>
      <c r="D14" s="3" t="inlineStr">
        <is>
          <t>Required input missing</t>
        </is>
      </c>
      <c r="E14" s="3" t="inlineStr">
        <is>
          <t>Truck purchase does not eliminate fuel and maintenance costs</t>
        </is>
      </c>
    </row>
    <row r="15">
      <c r="A15" s="3" t="inlineStr">
        <is>
          <t>Scenario control</t>
        </is>
      </c>
      <c r="B15" s="8" t="inlineStr"/>
      <c r="C15" s="3" t="inlineStr"/>
      <c r="D15" s="3" t="inlineStr"/>
      <c r="E15" s="3" t="inlineStr"/>
    </row>
    <row r="16">
      <c r="A16" s="3" t="inlineStr">
        <is>
          <t>Target bird counts</t>
        </is>
      </c>
      <c r="B16" s="8" t="inlineStr">
        <is>
          <t>1000;3000;5000</t>
        </is>
      </c>
      <c r="C16" s="3" t="inlineStr">
        <is>
          <t>birds</t>
        </is>
      </c>
      <c r="D16" s="3" t="inlineStr">
        <is>
          <t>Illustration</t>
        </is>
      </c>
      <c r="E16" s="3" t="inlineStr">
        <is>
          <t>Edit in Scale Model if required</t>
        </is>
      </c>
    </row>
    <row r="17">
      <c r="A17" s="3" t="inlineStr">
        <is>
          <t>Sale price shock</t>
        </is>
      </c>
      <c r="B17" s="7" t="n">
        <v>0.9</v>
      </c>
      <c r="C17" s="3" t="inlineStr">
        <is>
          <t>multiplier</t>
        </is>
      </c>
      <c r="D17" s="3" t="inlineStr">
        <is>
          <t>Sensitivity input</t>
        </is>
      </c>
      <c r="E17" s="3" t="inlineStr">
        <is>
          <t>0.9 means 10% lower selling price</t>
        </is>
      </c>
    </row>
    <row r="18">
      <c r="A18" s="3" t="inlineStr">
        <is>
          <t>Known cost shock</t>
        </is>
      </c>
      <c r="B18" s="7" t="n">
        <v>1.1</v>
      </c>
      <c r="C18" s="3" t="inlineStr">
        <is>
          <t>multiplier</t>
        </is>
      </c>
      <c r="D18" s="3" t="inlineStr">
        <is>
          <t>Sensitivity input</t>
        </is>
      </c>
      <c r="E18" s="3" t="inlineStr">
        <is>
          <t>1.1 means 10% higher known costs</t>
        </is>
      </c>
    </row>
    <row r="19">
      <c r="A19" s="3" t="inlineStr">
        <is>
          <t>Downside survival</t>
        </is>
      </c>
      <c r="B19" s="7" t="n">
        <v>0.92</v>
      </c>
      <c r="C19" s="3" t="inlineStr">
        <is>
          <t>ratio</t>
        </is>
      </c>
      <c r="D19" s="3" t="inlineStr">
        <is>
          <t>Sensitivity input</t>
        </is>
      </c>
      <c r="E19" s="3" t="inlineStr">
        <is>
          <t>Scenario only, not historical result</t>
        </is>
      </c>
    </row>
  </sheetData>
  <autoFilter ref="A1:E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1" customWidth="1" min="3" max="3"/>
    <col width="28" customWidth="1" min="4" max="4"/>
    <col width="22" customWidth="1" min="5" max="5"/>
    <col width="23" customWidth="1" min="6" max="6"/>
    <col width="23" customWidth="1" min="7" max="7"/>
    <col width="24" customWidth="1" min="8" max="8"/>
    <col width="30" customWidth="1" min="9" max="9"/>
    <col width="42" customWidth="1" min="10" max="10"/>
    <col width="30" customWidth="1" min="11" max="11"/>
    <col width="28" customWidth="1" min="12" max="12"/>
    <col width="40" customWidth="1" min="13" max="13"/>
    <col width="44" customWidth="1" min="14" max="14"/>
  </cols>
  <sheetData>
    <row r="1" ht="32" customHeight="1">
      <c r="A1" s="4" t="inlineStr">
        <is>
          <t>Target birds placed</t>
        </is>
      </c>
      <c r="B1" s="4" t="inlineStr">
        <is>
          <t>Assumed survival rate</t>
        </is>
      </c>
      <c r="C1" s="4" t="inlineStr">
        <is>
          <t>Expected birds sold</t>
        </is>
      </c>
      <c r="D1" s="4" t="inlineStr">
        <is>
          <t>Avg sale price / bird sold</t>
        </is>
      </c>
      <c r="E1" s="4" t="inlineStr">
        <is>
          <t>Illustrative revenue</t>
        </is>
      </c>
      <c r="F1" s="4" t="inlineStr">
        <is>
          <t>Chick cost</t>
        </is>
      </c>
      <c r="G1" s="4" t="inlineStr">
        <is>
          <t>Commercial feed cost</t>
        </is>
      </c>
      <c r="H1" s="4" t="inlineStr">
        <is>
          <t>Medication/supplements</t>
        </is>
      </c>
      <c r="I1" s="4" t="inlineStr">
        <is>
          <t>Known costs: commercial feed</t>
        </is>
      </c>
      <c r="J1" s="4" t="inlineStr">
        <is>
          <t>Preliminary surplus before missing costs</t>
        </is>
      </c>
      <c r="K1" s="4" t="inlineStr">
        <is>
          <t>Estimated in-house feed cost</t>
        </is>
      </c>
      <c r="L1" s="4" t="inlineStr">
        <is>
          <t>Known costs: in-house feed</t>
        </is>
      </c>
      <c r="M1" s="4" t="inlineStr">
        <is>
          <t>Preliminary surplus: in-house estimate</t>
        </is>
      </c>
      <c r="N1" s="4" t="inlineStr">
        <is>
          <t>Classification</t>
        </is>
      </c>
    </row>
    <row r="2">
      <c r="A2" s="5" t="n">
        <v>1000</v>
      </c>
      <c r="B2" s="9">
        <f>'Model Inputs'!B2</f>
        <v/>
      </c>
      <c r="C2" s="10">
        <f>A2*B2</f>
        <v/>
      </c>
      <c r="D2" s="10">
        <f>'Model Inputs'!B3</f>
        <v/>
      </c>
      <c r="E2" s="10">
        <f>C2*D2</f>
        <v/>
      </c>
      <c r="F2" s="10">
        <f>A2*'Model Inputs'!B4</f>
        <v/>
      </c>
      <c r="G2" s="10">
        <f>A2*'Model Inputs'!B5</f>
        <v/>
      </c>
      <c r="H2" s="10">
        <f>A2*'Model Inputs'!B6</f>
        <v/>
      </c>
      <c r="I2" s="10">
        <f>F2+G2+H2</f>
        <v/>
      </c>
      <c r="J2" s="10">
        <f>E2-I2</f>
        <v/>
      </c>
      <c r="K2" s="10">
        <f>A2*'Model Inputs'!B7</f>
        <v/>
      </c>
      <c r="L2" s="10">
        <f>F2+H2+K2</f>
        <v/>
      </c>
      <c r="M2" s="10">
        <f>E2-L2</f>
        <v/>
      </c>
      <c r="N2" s="3" t="inlineStr">
        <is>
          <t>Illustrative only; excludes unknown costs/capex</t>
        </is>
      </c>
    </row>
    <row r="3">
      <c r="A3" s="5" t="n">
        <v>3000</v>
      </c>
      <c r="B3" s="9">
        <f>'Model Inputs'!B2</f>
        <v/>
      </c>
      <c r="C3" s="10">
        <f>A3*B3</f>
        <v/>
      </c>
      <c r="D3" s="10">
        <f>'Model Inputs'!B3</f>
        <v/>
      </c>
      <c r="E3" s="10">
        <f>C3*D3</f>
        <v/>
      </c>
      <c r="F3" s="10">
        <f>A3*'Model Inputs'!B4</f>
        <v/>
      </c>
      <c r="G3" s="10">
        <f>A3*'Model Inputs'!B5</f>
        <v/>
      </c>
      <c r="H3" s="10">
        <f>A3*'Model Inputs'!B6</f>
        <v/>
      </c>
      <c r="I3" s="10">
        <f>F3+G3+H3</f>
        <v/>
      </c>
      <c r="J3" s="10">
        <f>E3-I3</f>
        <v/>
      </c>
      <c r="K3" s="10">
        <f>A3*'Model Inputs'!B7</f>
        <v/>
      </c>
      <c r="L3" s="10">
        <f>F3+H3+K3</f>
        <v/>
      </c>
      <c r="M3" s="10">
        <f>E3-L3</f>
        <v/>
      </c>
      <c r="N3" s="3" t="inlineStr">
        <is>
          <t>Illustrative only; excludes unknown costs/capex</t>
        </is>
      </c>
    </row>
    <row r="4">
      <c r="A4" s="5" t="n">
        <v>5000</v>
      </c>
      <c r="B4" s="9">
        <f>'Model Inputs'!B2</f>
        <v/>
      </c>
      <c r="C4" s="10">
        <f>A4*B4</f>
        <v/>
      </c>
      <c r="D4" s="10">
        <f>'Model Inputs'!B3</f>
        <v/>
      </c>
      <c r="E4" s="10">
        <f>C4*D4</f>
        <v/>
      </c>
      <c r="F4" s="10">
        <f>A4*'Model Inputs'!B4</f>
        <v/>
      </c>
      <c r="G4" s="10">
        <f>A4*'Model Inputs'!B5</f>
        <v/>
      </c>
      <c r="H4" s="10">
        <f>A4*'Model Inputs'!B6</f>
        <v/>
      </c>
      <c r="I4" s="10">
        <f>F4+G4+H4</f>
        <v/>
      </c>
      <c r="J4" s="10">
        <f>E4-I4</f>
        <v/>
      </c>
      <c r="K4" s="10">
        <f>A4*'Model Inputs'!B7</f>
        <v/>
      </c>
      <c r="L4" s="10">
        <f>F4+H4+K4</f>
        <v/>
      </c>
      <c r="M4" s="10">
        <f>E4-L4</f>
        <v/>
      </c>
      <c r="N4" s="3" t="inlineStr">
        <is>
          <t>Illustrative only; excludes unknown costs/capex</t>
        </is>
      </c>
    </row>
  </sheetData>
  <autoFilter ref="A1:N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1" customWidth="1" min="3" max="3"/>
    <col width="18" customWidth="1" min="4" max="4"/>
    <col width="23" customWidth="1" min="5" max="5"/>
    <col width="29" customWidth="1" min="6" max="6"/>
    <col width="44" customWidth="1" min="7" max="7"/>
    <col width="44" customWidth="1" min="8" max="8"/>
    <col width="19" customWidth="1" min="9" max="9"/>
  </cols>
  <sheetData>
    <row r="1" ht="32" customHeight="1">
      <c r="A1" s="4" t="inlineStr">
        <is>
          <t>Scenario</t>
        </is>
      </c>
      <c r="B1" s="4" t="inlineStr">
        <is>
          <t>Birds placed</t>
        </is>
      </c>
      <c r="C1" s="4" t="inlineStr">
        <is>
          <t>Survival rate</t>
        </is>
      </c>
      <c r="D1" s="4" t="inlineStr">
        <is>
          <t>Price multiplier</t>
        </is>
      </c>
      <c r="E1" s="4" t="inlineStr">
        <is>
          <t>Known cost multiplier</t>
        </is>
      </c>
      <c r="F1" s="4" t="inlineStr">
        <is>
          <t>Illustrative revenue</t>
        </is>
      </c>
      <c r="G1" s="4" t="inlineStr">
        <is>
          <t>Known costs only</t>
        </is>
      </c>
      <c r="H1" s="4" t="inlineStr">
        <is>
          <t>Preliminary surplus before missing costs/capex</t>
        </is>
      </c>
      <c r="I1" s="4" t="inlineStr">
        <is>
          <t>Warning</t>
        </is>
      </c>
    </row>
    <row r="2">
      <c r="A2" s="3" t="inlineStr">
        <is>
          <t>Baseline-equivalent illustration</t>
        </is>
      </c>
      <c r="B2" s="5" t="n">
        <v>5000</v>
      </c>
      <c r="C2" s="9">
        <f>'Model Inputs'!B2</f>
        <v/>
      </c>
      <c r="D2" s="5" t="n">
        <v>1</v>
      </c>
      <c r="E2" s="5" t="n">
        <v>1</v>
      </c>
      <c r="F2" s="10">
        <f>B2*C2*'Model Inputs'!B3</f>
        <v/>
      </c>
      <c r="G2" s="10">
        <f>B2*('Model Inputs'!B4+'Model Inputs'!B5+'Model Inputs'!B6)</f>
        <v/>
      </c>
      <c r="H2" s="10">
        <f>F2-G2</f>
        <v/>
      </c>
      <c r="I2" s="3" t="inlineStr">
        <is>
          <t>Illustrative only</t>
        </is>
      </c>
    </row>
    <row r="3">
      <c r="A3" s="3" t="inlineStr">
        <is>
          <t>Selling price down 10%</t>
        </is>
      </c>
      <c r="B3" s="5" t="n">
        <v>5000</v>
      </c>
      <c r="C3" s="9">
        <f>'Model Inputs'!B2</f>
        <v/>
      </c>
      <c r="D3" s="5" t="n">
        <v>0.9</v>
      </c>
      <c r="E3" s="5" t="n">
        <v>1</v>
      </c>
      <c r="F3" s="10">
        <f>B3*C3*'Model Inputs'!B3*D3</f>
        <v/>
      </c>
      <c r="G3" s="10">
        <f>B3*('Model Inputs'!B4+'Model Inputs'!B5+'Model Inputs'!B6)*E3</f>
        <v/>
      </c>
      <c r="H3" s="10">
        <f>F3-G3</f>
        <v/>
      </c>
      <c r="I3" s="3" t="inlineStr">
        <is>
          <t>Illustrative only</t>
        </is>
      </c>
    </row>
    <row r="4">
      <c r="A4" s="3" t="inlineStr">
        <is>
          <t>Known unit costs up 10%</t>
        </is>
      </c>
      <c r="B4" s="5" t="n">
        <v>5000</v>
      </c>
      <c r="C4" s="9">
        <f>'Model Inputs'!B2</f>
        <v/>
      </c>
      <c r="D4" s="5" t="n">
        <v>1</v>
      </c>
      <c r="E4" s="5" t="n">
        <v>1.1</v>
      </c>
      <c r="F4" s="10">
        <f>B4*C4*'Model Inputs'!B3*D4</f>
        <v/>
      </c>
      <c r="G4" s="10">
        <f>B4*('Model Inputs'!B4+'Model Inputs'!B5+'Model Inputs'!B6)*E4</f>
        <v/>
      </c>
      <c r="H4" s="10">
        <f>F4-G4</f>
        <v/>
      </c>
      <c r="I4" s="3" t="inlineStr">
        <is>
          <t>Illustrative only</t>
        </is>
      </c>
    </row>
    <row r="5">
      <c r="A5" s="3" t="inlineStr">
        <is>
          <t>Survival falls to 92%</t>
        </is>
      </c>
      <c r="B5" s="5" t="n">
        <v>5000</v>
      </c>
      <c r="C5" s="9">
        <f>'Model Inputs'!B19</f>
        <v/>
      </c>
      <c r="D5" s="5" t="n">
        <v>1</v>
      </c>
      <c r="E5" s="5" t="n">
        <v>1</v>
      </c>
      <c r="F5" s="10">
        <f>B5*C5*'Model Inputs'!B3*D5</f>
        <v/>
      </c>
      <c r="G5" s="10">
        <f>B5*('Model Inputs'!B4+'Model Inputs'!B5+'Model Inputs'!B6)*E5</f>
        <v/>
      </c>
      <c r="H5" s="10">
        <f>F5-G5</f>
        <v/>
      </c>
      <c r="I5" s="3" t="inlineStr">
        <is>
          <t>Illustrative only</t>
        </is>
      </c>
    </row>
    <row r="6">
      <c r="A6" s="3" t="inlineStr">
        <is>
          <t>Price down 10% and costs up 10%</t>
        </is>
      </c>
      <c r="B6" s="5" t="n">
        <v>5000</v>
      </c>
      <c r="C6" s="9">
        <f>'Model Inputs'!B2</f>
        <v/>
      </c>
      <c r="D6" s="5" t="n">
        <v>0.9</v>
      </c>
      <c r="E6" s="5" t="n">
        <v>1.1</v>
      </c>
      <c r="F6" s="10">
        <f>B6*C6*'Model Inputs'!B3*D6</f>
        <v/>
      </c>
      <c r="G6" s="10">
        <f>B6*('Model Inputs'!B4+'Model Inputs'!B5+'Model Inputs'!B6)*E6</f>
        <v/>
      </c>
      <c r="H6" s="10">
        <f>F6-G6</f>
        <v/>
      </c>
      <c r="I6" s="3" t="inlineStr">
        <is>
          <t>Illustrative only</t>
        </is>
      </c>
    </row>
    <row r="7">
      <c r="A7" s="3" t="inlineStr">
        <is>
          <t>Price down 10%, survival 92%, costs up 10%</t>
        </is>
      </c>
      <c r="B7" s="5" t="n">
        <v>5000</v>
      </c>
      <c r="C7" s="9">
        <f>'Model Inputs'!B19</f>
        <v/>
      </c>
      <c r="D7" s="5" t="n">
        <v>0.9</v>
      </c>
      <c r="E7" s="5" t="n">
        <v>1.1</v>
      </c>
      <c r="F7" s="10">
        <f>B7*C7*'Model Inputs'!B3*D7</f>
        <v/>
      </c>
      <c r="G7" s="10">
        <f>B7*('Model Inputs'!B4+'Model Inputs'!B5+'Model Inputs'!B6)*E7</f>
        <v/>
      </c>
      <c r="H7" s="10">
        <f>F7-G7</f>
        <v/>
      </c>
      <c r="I7" s="3" t="inlineStr">
        <is>
          <t>Illustrative only</t>
        </is>
      </c>
    </row>
  </sheetData>
  <autoFilter ref="A1:I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44" customWidth="1" min="3" max="3"/>
  </cols>
  <sheetData>
    <row r="1" ht="32" customHeight="1">
      <c r="A1" s="4" t="inlineStr">
        <is>
          <t>Cash allocation framework</t>
        </is>
      </c>
      <c r="B1" s="4" t="inlineStr">
        <is>
          <t>Amount (NGN)</t>
        </is>
      </c>
      <c r="C1" s="4" t="inlineStr">
        <is>
          <t>Notes</t>
        </is>
      </c>
    </row>
    <row r="2">
      <c r="A2" s="3" t="inlineStr">
        <is>
          <t>Cash available after current cycle</t>
        </is>
      </c>
      <c r="B2" s="3" t="inlineStr"/>
      <c r="C2" s="3" t="inlineStr">
        <is>
          <t>Input after reconciling all receipts and costs</t>
        </is>
      </c>
    </row>
    <row r="3">
      <c r="A3" s="3" t="inlineStr">
        <is>
          <t>Next-cycle working capital</t>
        </is>
      </c>
      <c r="B3" s="3" t="inlineStr"/>
      <c r="C3" s="3" t="inlineStr">
        <is>
          <t>Must be estimated from validated 1k/3k/5k cost plan</t>
        </is>
      </c>
    </row>
    <row r="4">
      <c r="A4" s="3" t="inlineStr">
        <is>
          <t>Outstanding obligations</t>
        </is>
      </c>
      <c r="B4" s="3" t="inlineStr"/>
      <c r="C4" s="3" t="inlineStr">
        <is>
          <t>Input</t>
        </is>
      </c>
    </row>
    <row r="5">
      <c r="A5" s="3" t="inlineStr">
        <is>
          <t>Emergency reserve target</t>
        </is>
      </c>
      <c r="B5" s="3" t="inlineStr"/>
      <c r="C5" s="3" t="inlineStr">
        <is>
          <t>Use 1/2/3 months of operating expenses</t>
        </is>
      </c>
    </row>
    <row r="6">
      <c r="A6" s="3" t="inlineStr">
        <is>
          <t>Maximum safe withdrawal</t>
        </is>
      </c>
      <c r="B6" s="10">
        <f>MAX(0,B2-B3-B4-B5)</f>
        <v/>
      </c>
      <c r="C6" s="3" t="inlineStr">
        <is>
          <t>Only after next-cycle working capital and reserve</t>
        </is>
      </c>
    </row>
    <row r="7">
      <c r="A7" s="3" t="inlineStr">
        <is>
          <t>Conservative withdrawal</t>
        </is>
      </c>
      <c r="B7" s="10">
        <f>MAX(0,B2-B3-B4-B5)</f>
        <v/>
      </c>
      <c r="C7" s="3" t="inlineStr">
        <is>
          <t>Set a larger reserve amount in row 5 to test conservative policy</t>
        </is>
      </c>
    </row>
    <row r="8">
      <c r="A8" s="3" t="inlineStr">
        <is>
          <t>Important</t>
        </is>
      </c>
      <c r="B8" s="3" t="inlineStr"/>
      <c r="C8" s="3" t="inlineStr">
        <is>
          <t>Do not use until all unknown costs and capital obligations are entered.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2" customWidth="1" min="3" max="3"/>
    <col width="44" customWidth="1" min="4" max="4"/>
  </cols>
  <sheetData>
    <row r="1" ht="32" customHeight="1">
      <c r="A1" s="4" t="inlineStr">
        <is>
          <t>Input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Status / notes</t>
        </is>
      </c>
    </row>
    <row r="2">
      <c r="A2" s="3" t="inlineStr">
        <is>
          <t>Fertilized egg price</t>
        </is>
      </c>
      <c r="B2" s="3" t="inlineStr"/>
      <c r="C2" s="3" t="inlineStr">
        <is>
          <t>NGN/egg</t>
        </is>
      </c>
      <c r="D2" s="3" t="inlineStr">
        <is>
          <t>Required input</t>
        </is>
      </c>
    </row>
    <row r="3">
      <c r="A3" s="3" t="inlineStr">
        <is>
          <t>Delivery per batch</t>
        </is>
      </c>
      <c r="B3" s="3" t="inlineStr"/>
      <c r="C3" s="3" t="inlineStr">
        <is>
          <t>NGN/batch</t>
        </is>
      </c>
      <c r="D3" s="3" t="inlineStr">
        <is>
          <t>Required input</t>
        </is>
      </c>
    </row>
    <row r="4">
      <c r="A4" s="3" t="inlineStr">
        <is>
          <t>Fertility rate</t>
        </is>
      </c>
      <c r="B4" s="3" t="inlineStr"/>
      <c r="C4" s="3" t="inlineStr">
        <is>
          <t>ratio</t>
        </is>
      </c>
      <c r="D4" s="3" t="inlineStr">
        <is>
          <t>Measured or explicitly scenario-based</t>
        </is>
      </c>
    </row>
    <row r="5">
      <c r="A5" s="3" t="inlineStr">
        <is>
          <t>Hatchability of fertile eggs</t>
        </is>
      </c>
      <c r="B5" s="3" t="inlineStr"/>
      <c r="C5" s="3" t="inlineStr">
        <is>
          <t>ratio</t>
        </is>
      </c>
      <c r="D5" s="3" t="inlineStr">
        <is>
          <t>Measured or explicitly scenario-based</t>
        </is>
      </c>
    </row>
    <row r="6">
      <c r="A6" s="3" t="inlineStr">
        <is>
          <t>Usable chick rate</t>
        </is>
      </c>
      <c r="B6" s="3" t="inlineStr"/>
      <c r="C6" s="3" t="inlineStr">
        <is>
          <t>ratio</t>
        </is>
      </c>
      <c r="D6" s="3" t="inlineStr">
        <is>
          <t>Measured or explicitly scenario-based</t>
        </is>
      </c>
    </row>
    <row r="7">
      <c r="A7" s="3" t="inlineStr">
        <is>
          <t>Incubator purchase and installation</t>
        </is>
      </c>
      <c r="B7" s="3" t="inlineStr"/>
      <c r="C7" s="3" t="inlineStr">
        <is>
          <t>NGN</t>
        </is>
      </c>
      <c r="D7" s="3" t="inlineStr">
        <is>
          <t>Capital expenditure</t>
        </is>
      </c>
    </row>
    <row r="8">
      <c r="A8" s="3" t="inlineStr">
        <is>
          <t>Power / solar allocation per cycle</t>
        </is>
      </c>
      <c r="B8" s="3" t="inlineStr"/>
      <c r="C8" s="3" t="inlineStr">
        <is>
          <t>NGN/cycle</t>
        </is>
      </c>
      <c r="D8" s="3" t="inlineStr">
        <is>
          <t>Include running and maintenance costs</t>
        </is>
      </c>
    </row>
    <row r="9">
      <c r="A9" s="3" t="inlineStr">
        <is>
          <t>Labour / sanitation per cycle</t>
        </is>
      </c>
      <c r="B9" s="3" t="inlineStr"/>
      <c r="C9" s="3" t="inlineStr">
        <is>
          <t>NGN/cycle</t>
        </is>
      </c>
      <c r="D9" s="3" t="inlineStr">
        <is>
          <t>Required input</t>
        </is>
      </c>
    </row>
    <row r="10">
      <c r="A10" s="3" t="inlineStr">
        <is>
          <t>Vaccination / early chick care per cycle</t>
        </is>
      </c>
      <c r="B10" s="3" t="inlineStr"/>
      <c r="C10" s="3" t="inlineStr">
        <is>
          <t>NGN/cycle</t>
        </is>
      </c>
      <c r="D10" s="3" t="inlineStr">
        <is>
          <t>Required input</t>
        </is>
      </c>
    </row>
    <row r="11">
      <c r="A11" s="3" t="inlineStr">
        <is>
          <t>Incubator maintenance per cycle</t>
        </is>
      </c>
      <c r="B11" s="3" t="inlineStr"/>
      <c r="C11" s="3" t="inlineStr">
        <is>
          <t>NGN/cycle</t>
        </is>
      </c>
      <c r="D11" s="3" t="inlineStr">
        <is>
          <t>Required input</t>
        </is>
      </c>
    </row>
    <row r="12">
      <c r="A12" s="3" t="inlineStr">
        <is>
          <t>Purchased day-old chick price</t>
        </is>
      </c>
      <c r="B12" s="3" t="inlineStr"/>
      <c r="C12" s="3" t="inlineStr">
        <is>
          <t>NGN/chick</t>
        </is>
      </c>
      <c r="D12" s="3" t="inlineStr">
        <is>
          <t>Comparator; baseline was ₦2,050/chick</t>
        </is>
      </c>
    </row>
    <row r="13">
      <c r="A13" s="3" t="inlineStr">
        <is>
          <t>Eggs loaded</t>
        </is>
      </c>
      <c r="B13" s="3" t="inlineStr"/>
      <c r="C13" s="3" t="inlineStr">
        <is>
          <t>eggs</t>
        </is>
      </c>
      <c r="D13" s="3" t="inlineStr">
        <is>
          <t>Required input</t>
        </is>
      </c>
    </row>
    <row r="14">
      <c r="A14" s="3" t="inlineStr">
        <is>
          <t>Expected usable chicks</t>
        </is>
      </c>
      <c r="B14" s="10">
        <f>IF(OR(B4="",B5="",B6="",B13=""),"",B13*B4*B5*B6)</f>
        <v/>
      </c>
      <c r="C14" s="3" t="inlineStr">
        <is>
          <t>chicks</t>
        </is>
      </c>
      <c r="D14" s="3" t="inlineStr">
        <is>
          <t>Formula; only works once rates are populated</t>
        </is>
      </c>
    </row>
    <row r="15">
      <c r="A15" s="3" t="inlineStr">
        <is>
          <t>Fully loaded hatchery cost</t>
        </is>
      </c>
      <c r="B15" s="3" t="inlineStr"/>
      <c r="C15" s="3" t="inlineStr">
        <is>
          <t>NGN/cycle</t>
        </is>
      </c>
      <c r="D15" s="3" t="inlineStr">
        <is>
          <t>Sum egg, delivery, labour, power, care, maintenance and allocated capex</t>
        </is>
      </c>
    </row>
    <row r="16">
      <c r="A16" s="3" t="inlineStr">
        <is>
          <t>Cost per usable chick</t>
        </is>
      </c>
      <c r="B16" s="10">
        <f>IFERROR(B15/B14,"")</f>
        <v/>
      </c>
      <c r="C16" s="3" t="inlineStr">
        <is>
          <t>NGN/chick</t>
        </is>
      </c>
      <c r="D16" s="3" t="inlineStr">
        <is>
          <t>Compare with day-old chick purchase price</t>
        </is>
      </c>
    </row>
  </sheetData>
  <autoFilter ref="A1:D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20" customWidth="1" min="3" max="3"/>
    <col width="43" customWidth="1" min="4" max="4"/>
  </cols>
  <sheetData>
    <row r="1" ht="32" customHeight="1">
      <c r="A1" s="4" t="inlineStr">
        <is>
          <t>stage</t>
        </is>
      </c>
      <c r="B1" s="4" t="inlineStr">
        <is>
          <t>metric</t>
        </is>
      </c>
      <c r="C1" s="4" t="inlineStr">
        <is>
          <t>value_NGN</t>
        </is>
      </c>
      <c r="D1" s="4" t="inlineStr">
        <is>
          <t>data_classification</t>
        </is>
      </c>
    </row>
    <row r="2">
      <c r="A2" s="3" t="inlineStr">
        <is>
          <t>1,000 birds</t>
        </is>
      </c>
      <c r="B2" s="3" t="inlineStr">
        <is>
          <t>Illustrative Revenue</t>
        </is>
      </c>
      <c r="C2" s="5" t="n">
        <v>16600000</v>
      </c>
      <c r="D2" s="3" t="inlineStr">
        <is>
          <t>Illustrative baseline-equivalent scenario</t>
        </is>
      </c>
    </row>
    <row r="3">
      <c r="A3" s="3" t="inlineStr">
        <is>
          <t>1,000 birds</t>
        </is>
      </c>
      <c r="B3" s="3" t="inlineStr">
        <is>
          <t>Commercial Feed Cost</t>
        </is>
      </c>
      <c r="C3" s="5" t="n">
        <v>3728000</v>
      </c>
      <c r="D3" s="3" t="inlineStr">
        <is>
          <t>Illustrative baseline-equivalent scenario</t>
        </is>
      </c>
    </row>
    <row r="4">
      <c r="A4" s="3" t="inlineStr">
        <is>
          <t>1,000 birds</t>
        </is>
      </c>
      <c r="B4" s="3" t="inlineStr">
        <is>
          <t>Estimated In-house Feed Cost</t>
        </is>
      </c>
      <c r="C4" s="5" t="n">
        <v>1800000</v>
      </c>
      <c r="D4" s="3" t="inlineStr">
        <is>
          <t>Illustrative baseline-equivalent scenario</t>
        </is>
      </c>
    </row>
    <row r="5">
      <c r="A5" s="3" t="inlineStr">
        <is>
          <t>1,000 birds</t>
        </is>
      </c>
      <c r="B5" s="3" t="inlineStr">
        <is>
          <t>Known Costs - Commercial Feed</t>
        </is>
      </c>
      <c r="C5" s="5" t="n">
        <v>6118000</v>
      </c>
      <c r="D5" s="3" t="inlineStr">
        <is>
          <t>Illustrative baseline-equivalent scenario</t>
        </is>
      </c>
    </row>
    <row r="6">
      <c r="A6" s="3" t="inlineStr">
        <is>
          <t>1,000 birds</t>
        </is>
      </c>
      <c r="B6" s="3" t="inlineStr">
        <is>
          <t>Preliminary Surplus - Commercial Feed</t>
        </is>
      </c>
      <c r="C6" s="5" t="n">
        <v>10482000</v>
      </c>
      <c r="D6" s="3" t="inlineStr">
        <is>
          <t>Illustrative baseline-equivalent scenario</t>
        </is>
      </c>
    </row>
    <row r="7">
      <c r="A7" s="3" t="inlineStr">
        <is>
          <t>1,000 birds</t>
        </is>
      </c>
      <c r="B7" s="3" t="inlineStr">
        <is>
          <t>Preliminary Surplus - In-house Feed Estimate</t>
        </is>
      </c>
      <c r="C7" s="5" t="n">
        <v>12410000</v>
      </c>
      <c r="D7" s="3" t="inlineStr">
        <is>
          <t>Illustrative baseline-equivalent scenario</t>
        </is>
      </c>
    </row>
    <row r="8">
      <c r="A8" s="3" t="inlineStr">
        <is>
          <t>3,000 birds</t>
        </is>
      </c>
      <c r="B8" s="3" t="inlineStr">
        <is>
          <t>Illustrative Revenue</t>
        </is>
      </c>
      <c r="C8" s="5" t="n">
        <v>49800000</v>
      </c>
      <c r="D8" s="3" t="inlineStr">
        <is>
          <t>Illustrative baseline-equivalent scenario</t>
        </is>
      </c>
    </row>
    <row r="9">
      <c r="A9" s="3" t="inlineStr">
        <is>
          <t>3,000 birds</t>
        </is>
      </c>
      <c r="B9" s="3" t="inlineStr">
        <is>
          <t>Commercial Feed Cost</t>
        </is>
      </c>
      <c r="C9" s="5" t="n">
        <v>11184000</v>
      </c>
      <c r="D9" s="3" t="inlineStr">
        <is>
          <t>Illustrative baseline-equivalent scenario</t>
        </is>
      </c>
    </row>
    <row r="10">
      <c r="A10" s="3" t="inlineStr">
        <is>
          <t>3,000 birds</t>
        </is>
      </c>
      <c r="B10" s="3" t="inlineStr">
        <is>
          <t>Estimated In-house Feed Cost</t>
        </is>
      </c>
      <c r="C10" s="5" t="n">
        <v>5400000</v>
      </c>
      <c r="D10" s="3" t="inlineStr">
        <is>
          <t>Illustrative baseline-equivalent scenario</t>
        </is>
      </c>
    </row>
    <row r="11">
      <c r="A11" s="3" t="inlineStr">
        <is>
          <t>3,000 birds</t>
        </is>
      </c>
      <c r="B11" s="3" t="inlineStr">
        <is>
          <t>Known Costs - Commercial Feed</t>
        </is>
      </c>
      <c r="C11" s="5" t="n">
        <v>18354000</v>
      </c>
      <c r="D11" s="3" t="inlineStr">
        <is>
          <t>Illustrative baseline-equivalent scenario</t>
        </is>
      </c>
    </row>
    <row r="12">
      <c r="A12" s="3" t="inlineStr">
        <is>
          <t>3,000 birds</t>
        </is>
      </c>
      <c r="B12" s="3" t="inlineStr">
        <is>
          <t>Preliminary Surplus - Commercial Feed</t>
        </is>
      </c>
      <c r="C12" s="5" t="n">
        <v>31446000</v>
      </c>
      <c r="D12" s="3" t="inlineStr">
        <is>
          <t>Illustrative baseline-equivalent scenario</t>
        </is>
      </c>
    </row>
    <row r="13">
      <c r="A13" s="3" t="inlineStr">
        <is>
          <t>3,000 birds</t>
        </is>
      </c>
      <c r="B13" s="3" t="inlineStr">
        <is>
          <t>Preliminary Surplus - In-house Feed Estimate</t>
        </is>
      </c>
      <c r="C13" s="5" t="n">
        <v>37230000</v>
      </c>
      <c r="D13" s="3" t="inlineStr">
        <is>
          <t>Illustrative baseline-equivalent scenario</t>
        </is>
      </c>
    </row>
    <row r="14">
      <c r="A14" s="3" t="inlineStr">
        <is>
          <t>5,000 birds</t>
        </is>
      </c>
      <c r="B14" s="3" t="inlineStr">
        <is>
          <t>Illustrative Revenue</t>
        </is>
      </c>
      <c r="C14" s="5" t="n">
        <v>83000000</v>
      </c>
      <c r="D14" s="3" t="inlineStr">
        <is>
          <t>Illustrative baseline-equivalent scenario</t>
        </is>
      </c>
    </row>
    <row r="15">
      <c r="A15" s="3" t="inlineStr">
        <is>
          <t>5,000 birds</t>
        </is>
      </c>
      <c r="B15" s="3" t="inlineStr">
        <is>
          <t>Commercial Feed Cost</t>
        </is>
      </c>
      <c r="C15" s="5" t="n">
        <v>18640000</v>
      </c>
      <c r="D15" s="3" t="inlineStr">
        <is>
          <t>Illustrative baseline-equivalent scenario</t>
        </is>
      </c>
    </row>
    <row r="16">
      <c r="A16" s="3" t="inlineStr">
        <is>
          <t>5,000 birds</t>
        </is>
      </c>
      <c r="B16" s="3" t="inlineStr">
        <is>
          <t>Estimated In-house Feed Cost</t>
        </is>
      </c>
      <c r="C16" s="5" t="n">
        <v>9000000</v>
      </c>
      <c r="D16" s="3" t="inlineStr">
        <is>
          <t>Illustrative baseline-equivalent scenario</t>
        </is>
      </c>
    </row>
    <row r="17">
      <c r="A17" s="3" t="inlineStr">
        <is>
          <t>5,000 birds</t>
        </is>
      </c>
      <c r="B17" s="3" t="inlineStr">
        <is>
          <t>Known Costs - Commercial Feed</t>
        </is>
      </c>
      <c r="C17" s="5" t="n">
        <v>30590000</v>
      </c>
      <c r="D17" s="3" t="inlineStr">
        <is>
          <t>Illustrative baseline-equivalent scenario</t>
        </is>
      </c>
    </row>
    <row r="18">
      <c r="A18" s="3" t="inlineStr">
        <is>
          <t>5,000 birds</t>
        </is>
      </c>
      <c r="B18" s="3" t="inlineStr">
        <is>
          <t>Preliminary Surplus - Commercial Feed</t>
        </is>
      </c>
      <c r="C18" s="5" t="n">
        <v>52410000</v>
      </c>
      <c r="D18" s="3" t="inlineStr">
        <is>
          <t>Illustrative baseline-equivalent scenario</t>
        </is>
      </c>
    </row>
    <row r="19">
      <c r="A19" s="3" t="inlineStr">
        <is>
          <t>5,000 birds</t>
        </is>
      </c>
      <c r="B19" s="3" t="inlineStr">
        <is>
          <t>Preliminary Surplus - In-house Feed Estimate</t>
        </is>
      </c>
      <c r="C19" s="5" t="n">
        <v>62050000</v>
      </c>
      <c r="D19" s="3" t="inlineStr">
        <is>
          <t>Illustrative baseline-equivalent scenario</t>
        </is>
      </c>
    </row>
  </sheetData>
  <autoFilter ref="A1:D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2026-10-09T13:11:39Z</dcterms:created>
  <dcterms:modified xmlns:dcterms="http://purl.org/dc/terms/" xmlns:xsi="http://www.w3.org/2001/XMLSchema-instance" xsi:type="dcterms:W3CDTF">2026-10-09T13:11:50Z</dcterms:modified>
</cp:coreProperties>
</file>